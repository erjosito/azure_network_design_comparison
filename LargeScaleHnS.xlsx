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jomore_microsoft_com/Documents/Customers/Atruvia/"/>
    </mc:Choice>
  </mc:AlternateContent>
  <xr:revisionPtr revIDLastSave="1240" documentId="8_{AB7DC771-E95C-4CC1-8C4E-CBE3B24F299A}" xr6:coauthVersionLast="47" xr6:coauthVersionMax="47" xr10:uidLastSave="{05B2209D-9818-487B-BA68-8B42FE7CF001}"/>
  <bookViews>
    <workbookView xWindow="-120" yWindow="-120" windowWidth="29040" windowHeight="15720" xr2:uid="{4585D9A0-E3B1-493C-9DE6-E504132A0FCE}"/>
  </bookViews>
  <sheets>
    <sheet name="AzNWDesign" sheetId="1" r:id="rId1"/>
    <sheet name="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E25" i="1"/>
  <c r="D25" i="1"/>
  <c r="C25" i="1"/>
  <c r="B25" i="1"/>
  <c r="C28" i="1"/>
  <c r="E28" i="1"/>
  <c r="D28" i="1"/>
  <c r="B28" i="1"/>
  <c r="E64" i="1"/>
  <c r="B64" i="1"/>
  <c r="E57" i="1"/>
  <c r="B57" i="1"/>
  <c r="E40" i="1"/>
  <c r="C40" i="1"/>
  <c r="B40" i="1"/>
  <c r="E34" i="1"/>
  <c r="D34" i="1"/>
  <c r="C34" i="1"/>
  <c r="B34" i="1"/>
  <c r="E33" i="1"/>
  <c r="D33" i="1"/>
  <c r="C33" i="1"/>
  <c r="B33" i="1"/>
  <c r="D23" i="1"/>
  <c r="C23" i="1"/>
  <c r="B23" i="1"/>
  <c r="D56" i="1" l="1"/>
  <c r="D55" i="1"/>
  <c r="C32" i="1"/>
  <c r="C44" i="1" s="1"/>
  <c r="D32" i="1"/>
  <c r="D44" i="1" s="1"/>
  <c r="B32" i="1"/>
  <c r="B42" i="1" s="1"/>
  <c r="E47" i="1"/>
  <c r="E23" i="1"/>
  <c r="E32" i="1" s="1"/>
  <c r="D60" i="1"/>
  <c r="D29" i="1"/>
  <c r="C60" i="1"/>
  <c r="C29" i="1"/>
  <c r="B60" i="1"/>
  <c r="B29" i="1"/>
  <c r="D47" i="1"/>
  <c r="D51" i="1" s="1"/>
  <c r="D53" i="1" s="1"/>
  <c r="C47" i="1"/>
  <c r="B47" i="1"/>
  <c r="D26" i="1"/>
  <c r="D27" i="1" s="1"/>
  <c r="D31" i="1"/>
  <c r="C31" i="1"/>
  <c r="C26" i="1"/>
  <c r="B26" i="1"/>
  <c r="C37" i="1" l="1"/>
  <c r="C27" i="1"/>
  <c r="B37" i="1"/>
  <c r="B27" i="1"/>
  <c r="D37" i="1"/>
  <c r="D39" i="1"/>
  <c r="D40" i="1" s="1"/>
  <c r="D64" i="1"/>
  <c r="D57" i="1"/>
  <c r="C50" i="1"/>
  <c r="D43" i="1"/>
  <c r="E26" i="1"/>
  <c r="E27" i="1" s="1"/>
  <c r="E42" i="1"/>
  <c r="E31" i="1"/>
  <c r="E60" i="1"/>
  <c r="E29" i="1"/>
  <c r="C62" i="1"/>
  <c r="C45" i="1"/>
  <c r="D63" i="1"/>
  <c r="D54" i="1"/>
  <c r="D30" i="1" l="1"/>
  <c r="D35" i="1" s="1"/>
  <c r="D36" i="1" s="1"/>
  <c r="D46" i="1"/>
  <c r="E58" i="1"/>
  <c r="E37" i="1"/>
  <c r="D45" i="1"/>
  <c r="B46" i="1"/>
  <c r="B48" i="1" s="1"/>
  <c r="B49" i="1" s="1"/>
  <c r="B30" i="1"/>
  <c r="B31" i="1"/>
  <c r="B41" i="1" s="1"/>
  <c r="C30" i="1"/>
  <c r="C35" i="1" s="1"/>
  <c r="C36" i="1" s="1"/>
  <c r="C38" i="1" s="1"/>
  <c r="C46" i="1"/>
  <c r="C51" i="1" s="1"/>
  <c r="C53" i="1" s="1"/>
  <c r="C55" i="1"/>
  <c r="C56" i="1"/>
  <c r="E35" i="1"/>
  <c r="E36" i="1" s="1"/>
  <c r="E65" i="1"/>
  <c r="E41" i="1"/>
  <c r="D62" i="1"/>
  <c r="D38" i="1" l="1"/>
  <c r="D61" i="1"/>
  <c r="D66" i="1" s="1"/>
  <c r="B35" i="1"/>
  <c r="B36" i="1" s="1"/>
  <c r="B63" i="1"/>
  <c r="B54" i="1"/>
  <c r="E30" i="1"/>
  <c r="E46" i="1"/>
  <c r="E48" i="1" s="1"/>
  <c r="E49" i="1" s="1"/>
  <c r="C64" i="1"/>
  <c r="C57" i="1"/>
  <c r="B62" i="1"/>
  <c r="B45" i="1"/>
  <c r="C54" i="1"/>
  <c r="C63" i="1"/>
  <c r="C61" i="1"/>
  <c r="E62" i="1"/>
  <c r="E45" i="1"/>
  <c r="E38" i="1"/>
  <c r="E61" i="1"/>
  <c r="B61" i="1" l="1"/>
  <c r="B66" i="1" s="1"/>
  <c r="B38" i="1"/>
  <c r="E63" i="1"/>
  <c r="E66" i="1" s="1"/>
  <c r="E54" i="1"/>
  <c r="C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Moreno</author>
  </authors>
  <commentList>
    <comment ref="D5" authorId="0" shapeId="0" xr:uid="{C193A001-0908-4D29-AC0A-2CC82059B806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Total number of spokes over all regions.</t>
        </r>
      </text>
    </comment>
    <comment ref="D7" authorId="0" shapeId="0" xr:uid="{947563EA-0C50-4D39-BCEE-E3CA837A5DBF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Monthly volume from each spoke to every other spoke.</t>
        </r>
      </text>
    </comment>
    <comment ref="D8" authorId="0" shapeId="0" xr:uid="{30F8230F-ABB1-476B-A93A-778025F39C15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Monthly volume from every spoke to onprem.</t>
        </r>
      </text>
    </comment>
    <comment ref="D9" authorId="0" shapeId="0" xr:uid="{B23B2EF4-2D40-4D14-A1CE-4E70E018C0A9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Monthly volume from onprem to each spoke, impacts ERGW sizing.</t>
        </r>
      </text>
    </comment>
    <comment ref="A11" authorId="0" shapeId="0" xr:uid="{3852AC23-0F52-4F81-AA70-2267C80A8CF4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With deployed configs</t>
        </r>
      </text>
    </comment>
    <comment ref="A13" authorId="0" shapeId="0" xr:uid="{1D280ED5-9DBA-4228-B190-E8B71B4699B0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2 are included</t>
        </r>
      </text>
    </comment>
    <comment ref="A15" authorId="0" shapeId="0" xr:uid="{1796F6B4-4B6F-4D3C-AB04-D82FFD4CFA28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Each ExpressRoute Scale Unit has a 2 Gbps bandwidth. Scale units are discounted at $0.25 after the first five.</t>
        </r>
      </text>
    </comment>
    <comment ref="A17" authorId="0" shapeId="0" xr:uid="{75C6A4DF-5FBE-44DF-B801-6D7DB6694DCA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Charged twice (per VNet)</t>
        </r>
      </text>
    </comment>
    <comment ref="A18" authorId="0" shapeId="0" xr:uid="{9DD00F6B-E75F-40F4-B146-17E5BF504123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Charged twice (per VNet)</t>
        </r>
      </text>
    </comment>
    <comment ref="A19" authorId="0" shapeId="0" xr:uid="{3D5835A6-4178-4834-B0BD-137B5CACF102}">
      <text>
        <r>
          <rPr>
            <b/>
            <sz val="9"/>
            <color indexed="81"/>
            <rFont val="Tahoma"/>
            <charset val="1"/>
          </rPr>
          <t>Jose Moreno:</t>
        </r>
        <r>
          <rPr>
            <sz val="9"/>
            <color indexed="81"/>
            <rFont val="Tahoma"/>
            <charset val="1"/>
          </rPr>
          <t xml:space="preserve">
Sure? This makes VWAN very attractive when there is much cross-region traffic!</t>
        </r>
      </text>
    </comment>
    <comment ref="C28" authorId="0" shapeId="0" xr:uid="{302CF9A6-F081-4B6D-9A64-FE0072EFF6F4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Only one side of the peering, since the other is VWAN.</t>
        </r>
      </text>
    </comment>
    <comment ref="C29" authorId="0" shapeId="0" xr:uid="{10BBE7D3-DDE4-4ED3-8C42-CED0E00676D3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In VWAN you don't pay for the peering costs at the hub's side.</t>
        </r>
      </text>
    </comment>
    <comment ref="A30" authorId="0" shapeId="0" xr:uid="{B3E613CC-E13A-45D7-A327-6E584CCC3700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p/s = per spoke</t>
        </r>
      </text>
    </comment>
    <comment ref="E35" authorId="0" shapeId="0" xr:uid="{E793B691-69BA-4DDA-80E5-04B99159B76B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V2V intrablock is taken care of by full mesh topology, not by the firewall.</t>
        </r>
      </text>
    </comment>
    <comment ref="E38" authorId="0" shapeId="0" xr:uid="{3FD4268A-96E6-4572-ACC7-CF84D1FE8B2E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Full mesh between the spokes eliminates FW bandwidth cost for intra-block traffic.</t>
        </r>
      </text>
    </comment>
    <comment ref="A39" authorId="0" shapeId="0" xr:uid="{C9981906-A7A5-4BF6-A33F-9E2F0B3A40F5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Only relevant in the indirect spoke option.</t>
        </r>
      </text>
    </comment>
    <comment ref="A40" authorId="0" shapeId="0" xr:uid="{399BE532-A627-454A-A85D-AEF45E0236F2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Only relevant in the indirect spoke option.</t>
        </r>
      </text>
    </comment>
    <comment ref="C43" authorId="0" shapeId="0" xr:uid="{7DCD95BB-FE33-47AD-B465-24C197D6106E}">
      <text>
        <r>
          <rPr>
            <b/>
            <sz val="9"/>
            <color indexed="81"/>
            <rFont val="Tahoma"/>
            <family val="2"/>
          </rPr>
          <t>Jose Moreno:</t>
        </r>
        <r>
          <rPr>
            <sz val="9"/>
            <color indexed="81"/>
            <rFont val="Tahoma"/>
            <family val="2"/>
          </rPr>
          <t xml:space="preserve">
No H2H costs with RI and both hubs in the same region?
(vhub data processing is further down)</t>
        </r>
      </text>
    </comment>
  </commentList>
</comments>
</file>

<file path=xl/sharedStrings.xml><?xml version="1.0" encoding="utf-8"?>
<sst xmlns="http://schemas.openxmlformats.org/spreadsheetml/2006/main" count="101" uniqueCount="86">
  <si>
    <t>Spokes</t>
  </si>
  <si>
    <t>Azure Firewall 1 GB</t>
  </si>
  <si>
    <t>ErGw1AZ</t>
  </si>
  <si>
    <t>Spoke-to-spoke (GB)</t>
  </si>
  <si>
    <t>ErGw2AZ</t>
  </si>
  <si>
    <t>Spoke-to-onprem (GB)</t>
  </si>
  <si>
    <t>ErGw3AZ</t>
  </si>
  <si>
    <t>AVNM VNet</t>
  </si>
  <si>
    <t>VWAN hub</t>
  </si>
  <si>
    <t>VWAN Routing Infra Units</t>
  </si>
  <si>
    <t>VWAN processed GB</t>
  </si>
  <si>
    <t>VWAN ER scale units</t>
  </si>
  <si>
    <t>VNet peering (GB)</t>
  </si>
  <si>
    <t>Global VNet peering (GB)</t>
  </si>
  <si>
    <t>Inter-region data transfer (GB)</t>
  </si>
  <si>
    <t>Max spokes per block</t>
  </si>
  <si>
    <t>Vnet peering cost per spoke</t>
  </si>
  <si>
    <t>Vnet peerings all spokes</t>
  </si>
  <si>
    <t>AVNM costs</t>
  </si>
  <si>
    <t>Spokes per region</t>
  </si>
  <si>
    <t>O1: HnS</t>
  </si>
  <si>
    <t>O2: VWAN</t>
  </si>
  <si>
    <t>Total spokes</t>
  </si>
  <si>
    <t>Spoke blocks per region</t>
  </si>
  <si>
    <t>O3: HnS+VWAN</t>
  </si>
  <si>
    <t>O4: AVNM</t>
  </si>
  <si>
    <t>V2V intrablock  p/s (GB)</t>
  </si>
  <si>
    <t>V2V interblock, intraregion p/s (GB)</t>
  </si>
  <si>
    <t>V2V interregion p/s (GB)</t>
  </si>
  <si>
    <t>V2B p/s (GB)</t>
  </si>
  <si>
    <t>B2V p/s (GB)</t>
  </si>
  <si>
    <t>FW traffic (GB)</t>
  </si>
  <si>
    <t>FW bandwidth cost (USD)</t>
  </si>
  <si>
    <t>Total</t>
  </si>
  <si>
    <t>Hub-to-vHub VNet peering</t>
  </si>
  <si>
    <t>Hub-to-vHub (GB)</t>
  </si>
  <si>
    <t>See https://learn.microsoft.com/azure/virtual-wan/pricing-concepts</t>
  </si>
  <si>
    <t>VWAN ER connection unit</t>
  </si>
  <si>
    <t>Azure Firewall Standard</t>
  </si>
  <si>
    <t>Azure Firewall Standard CU</t>
  </si>
  <si>
    <t>HnS H2H VNet peering (intra-region)</t>
  </si>
  <si>
    <t>HnS H2H VNet peering (cross-region)</t>
  </si>
  <si>
    <t>VWAN H2H transfer (intra-region)</t>
  </si>
  <si>
    <t>VWAN H2H transfer (cross-region)</t>
  </si>
  <si>
    <t>Inter-block costs</t>
  </si>
  <si>
    <t>Standalone ERGW SKU</t>
  </si>
  <si>
    <t>B2V per block (Gbps)</t>
  </si>
  <si>
    <t>B2V per region</t>
  </si>
  <si>
    <t>Standalone ERGW cost</t>
  </si>
  <si>
    <t>VWAN ER cost</t>
  </si>
  <si>
    <t>ER cost</t>
  </si>
  <si>
    <t>vHub fixed cost</t>
  </si>
  <si>
    <t>vHub RUs</t>
  </si>
  <si>
    <t>Vhub cost</t>
  </si>
  <si>
    <t>Summary</t>
  </si>
  <si>
    <t>Block Firewall fixed costs</t>
  </si>
  <si>
    <t>Firewall costs</t>
  </si>
  <si>
    <t>ER gateways</t>
  </si>
  <si>
    <t>Inter-block traffic</t>
  </si>
  <si>
    <t>Firewall</t>
  </si>
  <si>
    <t>WE/GWC</t>
  </si>
  <si>
    <t>Options 1 and 4:</t>
  </si>
  <si>
    <t>Option 2:</t>
  </si>
  <si>
    <t>Option 3:</t>
  </si>
  <si>
    <t>Large-scale hub and spoke designs over two regions (West Europe and Germany West Central prices considered).</t>
  </si>
  <si>
    <t>Average spokes per block</t>
  </si>
  <si>
    <t>n/a</t>
  </si>
  <si>
    <t>Regions</t>
  </si>
  <si>
    <t>VWAN vhubs</t>
  </si>
  <si>
    <t>VWAN ER connection units per vhub</t>
  </si>
  <si>
    <t>VWAN ER scale units per vhub</t>
  </si>
  <si>
    <t>Conclusions</t>
  </si>
  <si>
    <t>VWAN+RI similarly priced as HnS for small environments and low V2V traffic.</t>
  </si>
  <si>
    <t>AVNM's cheaper only with large V2V traffic volumes and high number of spokes.</t>
  </si>
  <si>
    <t>Data (feel free to change)</t>
  </si>
  <si>
    <t>Onprem-to-spoke (GB)</t>
  </si>
  <si>
    <t>Transit VNets more expensive due to the additional VNet peerings and  vHub data processing costs.</t>
  </si>
  <si>
    <t>VWAN+RI cheaper than HnS for multiple hubs per region or high V2V volumes.</t>
  </si>
  <si>
    <t xml:space="preserve">      </t>
  </si>
  <si>
    <t>Version</t>
  </si>
  <si>
    <t>Last edited</t>
  </si>
  <si>
    <t>Jose Moreno</t>
  </si>
  <si>
    <t>Last edited by</t>
  </si>
  <si>
    <t>Azure Network Design pricing comparison</t>
  </si>
  <si>
    <t>Azure pricing (monthly, USD), last updated in Jan 26</t>
  </si>
  <si>
    <t>Jan 23rd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</si>
</sst>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  <font>
      <b/>
      <sz val="24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/>
    <xf numFmtId="0" fontId="6" fillId="0" borderId="0" xfId="1"/>
    <xf numFmtId="0" fontId="0" fillId="2" borderId="0" xfId="0" applyFill="1"/>
    <xf numFmtId="0" fontId="0" fillId="3" borderId="0" xfId="0" applyFill="1"/>
    <xf numFmtId="0" fontId="7" fillId="0" borderId="0" xfId="0" applyFont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AzNWDesign!$A$60</c:f>
              <c:strCache>
                <c:ptCount val="1"/>
                <c:pt idx="0">
                  <c:v>Vnet peerings all spokes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AzNWDesign!$B$59:$E$59</c:f>
              <c:strCache>
                <c:ptCount val="4"/>
                <c:pt idx="0">
                  <c:v>O1: HnS</c:v>
                </c:pt>
                <c:pt idx="1">
                  <c:v>O2: VWAN</c:v>
                </c:pt>
                <c:pt idx="2">
                  <c:v>O3: HnS+VWAN</c:v>
                </c:pt>
                <c:pt idx="3">
                  <c:v>O4: AVNM</c:v>
                </c:pt>
              </c:strCache>
            </c:strRef>
          </c:cat>
          <c:val>
            <c:numRef>
              <c:f>AzNWDesign!$B$60:$E$60</c:f>
              <c:numCache>
                <c:formatCode>0</c:formatCode>
                <c:ptCount val="4"/>
                <c:pt idx="0">
                  <c:v>119.60000000000002</c:v>
                </c:pt>
                <c:pt idx="1">
                  <c:v>59.800000000000011</c:v>
                </c:pt>
                <c:pt idx="2">
                  <c:v>119.60000000000002</c:v>
                </c:pt>
                <c:pt idx="3">
                  <c:v>119.60000000000002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6-487E-BF4D-A14672B13F56}"/>
            </c:ext>
          </c:extLst>
        </c:ser>
        <c:ser>
          <c:idx val="1"/>
          <c:order val="1"/>
          <c:tx>
            <c:strRef>
              <c:f>AzNWDesign!$A$61</c:f>
              <c:strCache>
                <c:ptCount val="1"/>
                <c:pt idx="0">
                  <c:v>Firewall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AzNWDesign!$B$59:$E$59</c:f>
              <c:strCache>
                <c:ptCount val="4"/>
                <c:pt idx="0">
                  <c:v>O1: HnS</c:v>
                </c:pt>
                <c:pt idx="1">
                  <c:v>O2: VWAN</c:v>
                </c:pt>
                <c:pt idx="2">
                  <c:v>O3: HnS+VWAN</c:v>
                </c:pt>
                <c:pt idx="3">
                  <c:v>O4: AVNM</c:v>
                </c:pt>
              </c:strCache>
            </c:strRef>
          </c:cat>
          <c:val>
            <c:numRef>
              <c:f>AzNWDesign!$B$61:$E$61</c:f>
              <c:numCache>
                <c:formatCode>0</c:formatCode>
                <c:ptCount val="4"/>
                <c:pt idx="0">
                  <c:v>1008.5</c:v>
                </c:pt>
                <c:pt idx="1">
                  <c:v>1008.5</c:v>
                </c:pt>
                <c:pt idx="2">
                  <c:v>1008.5</c:v>
                </c:pt>
                <c:pt idx="3">
                  <c:v>944.5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6-487E-BF4D-A14672B13F56}"/>
            </c:ext>
          </c:extLst>
        </c:ser>
        <c:ser>
          <c:idx val="2"/>
          <c:order val="2"/>
          <c:tx>
            <c:strRef>
              <c:f>AzNWDesign!$A$62</c:f>
              <c:strCache>
                <c:ptCount val="1"/>
                <c:pt idx="0">
                  <c:v>Inter-block traffic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AzNWDesign!$B$59:$E$59</c:f>
              <c:strCache>
                <c:ptCount val="4"/>
                <c:pt idx="0">
                  <c:v>O1: HnS</c:v>
                </c:pt>
                <c:pt idx="1">
                  <c:v>O2: VWAN</c:v>
                </c:pt>
                <c:pt idx="2">
                  <c:v>O3: HnS+VWAN</c:v>
                </c:pt>
                <c:pt idx="3">
                  <c:v>O4: AVNM</c:v>
                </c:pt>
              </c:strCache>
            </c:strRef>
          </c:cat>
          <c:val>
            <c:numRef>
              <c:f>AzNWDesign!$B$62:$E$62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6-487E-BF4D-A14672B13F56}"/>
            </c:ext>
          </c:extLst>
        </c:ser>
        <c:ser>
          <c:idx val="3"/>
          <c:order val="3"/>
          <c:tx>
            <c:strRef>
              <c:f>AzNWDesign!$A$63</c:f>
              <c:strCache>
                <c:ptCount val="1"/>
                <c:pt idx="0">
                  <c:v>ER gateways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AzNWDesign!$B$59:$E$59</c:f>
              <c:strCache>
                <c:ptCount val="4"/>
                <c:pt idx="0">
                  <c:v>O1: HnS</c:v>
                </c:pt>
                <c:pt idx="1">
                  <c:v>O2: VWAN</c:v>
                </c:pt>
                <c:pt idx="2">
                  <c:v>O3: HnS+VWAN</c:v>
                </c:pt>
                <c:pt idx="3">
                  <c:v>O4: AVNM</c:v>
                </c:pt>
              </c:strCache>
            </c:strRef>
          </c:cat>
          <c:val>
            <c:numRef>
              <c:f>AzNWDesign!$B$63:$E$63</c:f>
              <c:numCache>
                <c:formatCode>0</c:formatCode>
                <c:ptCount val="4"/>
                <c:pt idx="0">
                  <c:v>263.52999999999997</c:v>
                </c:pt>
                <c:pt idx="1">
                  <c:v>379.6</c:v>
                </c:pt>
                <c:pt idx="2">
                  <c:v>379.6</c:v>
                </c:pt>
                <c:pt idx="3">
                  <c:v>263.52999999999997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C6-487E-BF4D-A14672B13F56}"/>
            </c:ext>
          </c:extLst>
        </c:ser>
        <c:ser>
          <c:idx val="4"/>
          <c:order val="4"/>
          <c:tx>
            <c:strRef>
              <c:f>AzNWDesign!$A$64</c:f>
              <c:strCache>
                <c:ptCount val="1"/>
                <c:pt idx="0">
                  <c:v>Vhub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AzNWDesign!$B$59:$E$59</c:f>
              <c:strCache>
                <c:ptCount val="4"/>
                <c:pt idx="0">
                  <c:v>O1: HnS</c:v>
                </c:pt>
                <c:pt idx="1">
                  <c:v>O2: VWAN</c:v>
                </c:pt>
                <c:pt idx="2">
                  <c:v>O3: HnS+VWAN</c:v>
                </c:pt>
                <c:pt idx="3">
                  <c:v>O4: AVNM</c:v>
                </c:pt>
              </c:strCache>
            </c:strRef>
          </c:cat>
          <c:val>
            <c:numRef>
              <c:f>AzNWDesign!$B$64:$E$64</c:f>
              <c:numCache>
                <c:formatCode>0</c:formatCode>
                <c:ptCount val="4"/>
                <c:pt idx="0">
                  <c:v>0</c:v>
                </c:pt>
                <c:pt idx="1">
                  <c:v>255.5</c:v>
                </c:pt>
                <c:pt idx="2">
                  <c:v>255.5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C6-487E-BF4D-A14672B13F56}"/>
            </c:ext>
          </c:extLst>
        </c:ser>
        <c:ser>
          <c:idx val="5"/>
          <c:order val="5"/>
          <c:tx>
            <c:strRef>
              <c:f>AzNWDesign!$A$65</c:f>
              <c:strCache>
                <c:ptCount val="1"/>
                <c:pt idx="0">
                  <c:v>AVNM costs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AzNWDesign!$B$59:$E$59</c:f>
              <c:strCache>
                <c:ptCount val="4"/>
                <c:pt idx="0">
                  <c:v>O1: HnS</c:v>
                </c:pt>
                <c:pt idx="1">
                  <c:v>O2: VWAN</c:v>
                </c:pt>
                <c:pt idx="2">
                  <c:v>O3: HnS+VWAN</c:v>
                </c:pt>
                <c:pt idx="3">
                  <c:v>O4: AVNM</c:v>
                </c:pt>
              </c:strCache>
            </c:strRef>
          </c:cat>
          <c:val>
            <c:numRef>
              <c:f>AzNWDesign!$B$65:$E$65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C6-487E-BF4D-A14672B13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774416"/>
        <c:axId val="475772016"/>
      </c:barChart>
      <c:catAx>
        <c:axId val="47577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72016"/>
        <c:crosses val="autoZero"/>
        <c:auto val="1"/>
        <c:lblAlgn val="ctr"/>
        <c:lblOffset val="100"/>
        <c:noMultiLvlLbl val="0"/>
      </c:catAx>
      <c:valAx>
        <c:axId val="47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85725</xdr:rowOff>
    </xdr:from>
    <xdr:to>
      <xdr:col>10</xdr:col>
      <xdr:colOff>609600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CE064-9649-0F9D-95E8-86F891A1F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12846</xdr:colOff>
      <xdr:row>52</xdr:row>
      <xdr:rowOff>76199</xdr:rowOff>
    </xdr:from>
    <xdr:to>
      <xdr:col>13</xdr:col>
      <xdr:colOff>792545</xdr:colOff>
      <xdr:row>76</xdr:row>
      <xdr:rowOff>10622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9BE3F7-9180-9DC8-08D4-96469BE5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4321" y="9220199"/>
          <a:ext cx="8085374" cy="450642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78</xdr:row>
      <xdr:rowOff>171450</xdr:rowOff>
    </xdr:from>
    <xdr:to>
      <xdr:col>13</xdr:col>
      <xdr:colOff>455486</xdr:colOff>
      <xdr:row>104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A7E1A3-A7F1-2AB6-4007-271EFA9F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4458950"/>
          <a:ext cx="7742111" cy="4886325"/>
        </a:xfrm>
        <a:prstGeom prst="rect">
          <a:avLst/>
        </a:prstGeom>
      </xdr:spPr>
    </xdr:pic>
    <xdr:clientData/>
  </xdr:twoCellAnchor>
  <xdr:twoCellAnchor editAs="oneCell">
    <xdr:from>
      <xdr:col>5</xdr:col>
      <xdr:colOff>598284</xdr:colOff>
      <xdr:row>21</xdr:row>
      <xdr:rowOff>190499</xdr:rowOff>
    </xdr:from>
    <xdr:to>
      <xdr:col>13</xdr:col>
      <xdr:colOff>981201</xdr:colOff>
      <xdr:row>45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2AFC3-3FE9-9E8A-60C7-0A2CBA80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3534" y="4400549"/>
          <a:ext cx="8298192" cy="456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zure.microsoft.com/pricing/details/virtual-network-manager/" TargetMode="External"/><Relationship Id="rId13" Type="http://schemas.openxmlformats.org/officeDocument/2006/relationships/hyperlink" Target="https://azure.microsoft.com/pricing/details/expressroute/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zure.microsoft.com/pricing/details/bandwidth/" TargetMode="External"/><Relationship Id="rId7" Type="http://schemas.openxmlformats.org/officeDocument/2006/relationships/hyperlink" Target="https://azure.microsoft.com/pricing/details/virtual-wan" TargetMode="External"/><Relationship Id="rId12" Type="http://schemas.openxmlformats.org/officeDocument/2006/relationships/hyperlink" Target="https://azure.microsoft.com/pricing/details/expressroute/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zure.microsoft.com/pricing/details/virtual-network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azure.microsoft.com/pricing/details/virtual-network" TargetMode="External"/><Relationship Id="rId6" Type="http://schemas.openxmlformats.org/officeDocument/2006/relationships/hyperlink" Target="https://azure.microsoft.com/pricing/details/virtual-wan" TargetMode="External"/><Relationship Id="rId11" Type="http://schemas.openxmlformats.org/officeDocument/2006/relationships/hyperlink" Target="https://azure.microsoft.com/pricing/details/azure-firewall/" TargetMode="External"/><Relationship Id="rId5" Type="http://schemas.openxmlformats.org/officeDocument/2006/relationships/hyperlink" Target="https://azure.microsoft.com/pricing/details/virtual-wan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azure.microsoft.com/pricing/details/azure-firewall/" TargetMode="External"/><Relationship Id="rId4" Type="http://schemas.openxmlformats.org/officeDocument/2006/relationships/hyperlink" Target="https://azure.microsoft.com/pricing/details/virtual-wan" TargetMode="External"/><Relationship Id="rId9" Type="http://schemas.openxmlformats.org/officeDocument/2006/relationships/hyperlink" Target="https://azure.microsoft.com/pricing/details/azure-firewall/" TargetMode="External"/><Relationship Id="rId14" Type="http://schemas.openxmlformats.org/officeDocument/2006/relationships/hyperlink" Target="https://azure.microsoft.com/pricing/details/expressrou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3204-2BF4-40AA-A3F7-425DCF429741}">
  <dimension ref="A1:L79"/>
  <sheetViews>
    <sheetView tabSelected="1" zoomScaleNormal="100" workbookViewId="0">
      <selection activeCell="E5" sqref="E5"/>
    </sheetView>
  </sheetViews>
  <sheetFormatPr defaultRowHeight="15" x14ac:dyDescent="0.25"/>
  <cols>
    <col min="1" max="1" width="34.42578125" customWidth="1"/>
    <col min="2" max="2" width="19.5703125" customWidth="1"/>
    <col min="3" max="3" width="19.42578125" customWidth="1"/>
    <col min="4" max="4" width="22.5703125" customWidth="1"/>
    <col min="5" max="5" width="19.7109375" customWidth="1"/>
    <col min="7" max="7" width="23.42578125" bestFit="1" customWidth="1"/>
    <col min="8" max="8" width="34.140625" bestFit="1" customWidth="1"/>
    <col min="9" max="9" width="11.7109375" customWidth="1"/>
    <col min="11" max="11" width="12.85546875" customWidth="1"/>
    <col min="14" max="14" width="35.140625" bestFit="1" customWidth="1"/>
    <col min="20" max="20" width="23.42578125" bestFit="1" customWidth="1"/>
  </cols>
  <sheetData>
    <row r="1" spans="1:12" ht="31.5" x14ac:dyDescent="0.5">
      <c r="A1" s="9" t="s">
        <v>83</v>
      </c>
    </row>
    <row r="3" spans="1:12" x14ac:dyDescent="0.25">
      <c r="A3" s="1" t="s">
        <v>84</v>
      </c>
      <c r="D3" s="1" t="s">
        <v>74</v>
      </c>
      <c r="L3" s="1" t="s">
        <v>71</v>
      </c>
    </row>
    <row r="4" spans="1:12" x14ac:dyDescent="0.25">
      <c r="B4" t="s">
        <v>60</v>
      </c>
    </row>
    <row r="5" spans="1:12" x14ac:dyDescent="0.25">
      <c r="A5" s="6" t="s">
        <v>38</v>
      </c>
      <c r="B5">
        <v>912.5</v>
      </c>
      <c r="D5" t="s">
        <v>0</v>
      </c>
      <c r="E5" s="8">
        <v>200</v>
      </c>
      <c r="L5" t="s">
        <v>73</v>
      </c>
    </row>
    <row r="6" spans="1:12" x14ac:dyDescent="0.25">
      <c r="A6" s="6" t="s">
        <v>1</v>
      </c>
      <c r="B6">
        <v>1.6E-2</v>
      </c>
      <c r="D6" t="s">
        <v>67</v>
      </c>
      <c r="E6" s="8">
        <v>1</v>
      </c>
      <c r="L6" t="s">
        <v>76</v>
      </c>
    </row>
    <row r="7" spans="1:12" x14ac:dyDescent="0.25">
      <c r="A7" s="6" t="s">
        <v>39</v>
      </c>
      <c r="B7">
        <v>51.1</v>
      </c>
      <c r="D7" t="s">
        <v>3</v>
      </c>
      <c r="E7" s="8">
        <v>0.1</v>
      </c>
      <c r="L7" t="s">
        <v>72</v>
      </c>
    </row>
    <row r="8" spans="1:12" x14ac:dyDescent="0.25">
      <c r="A8" s="6" t="s">
        <v>2</v>
      </c>
      <c r="B8">
        <v>263.52999999999997</v>
      </c>
      <c r="D8" t="s">
        <v>5</v>
      </c>
      <c r="E8" s="8">
        <v>5</v>
      </c>
      <c r="L8" t="s">
        <v>77</v>
      </c>
    </row>
    <row r="9" spans="1:12" x14ac:dyDescent="0.25">
      <c r="A9" s="6" t="s">
        <v>4</v>
      </c>
      <c r="B9">
        <v>461.36</v>
      </c>
      <c r="D9" t="s">
        <v>75</v>
      </c>
      <c r="E9" s="8">
        <v>5</v>
      </c>
      <c r="L9" t="s">
        <v>78</v>
      </c>
    </row>
    <row r="10" spans="1:12" x14ac:dyDescent="0.25">
      <c r="A10" s="6" t="s">
        <v>6</v>
      </c>
      <c r="B10">
        <v>1570.23</v>
      </c>
    </row>
    <row r="11" spans="1:12" x14ac:dyDescent="0.25">
      <c r="A11" s="6" t="s">
        <v>7</v>
      </c>
      <c r="B11">
        <v>14.6</v>
      </c>
      <c r="D11" s="1" t="s">
        <v>54</v>
      </c>
    </row>
    <row r="12" spans="1:12" x14ac:dyDescent="0.25">
      <c r="A12" s="6" t="s">
        <v>8</v>
      </c>
      <c r="B12">
        <v>182.5</v>
      </c>
      <c r="D12" s="10" t="s">
        <v>64</v>
      </c>
      <c r="E12" s="10"/>
    </row>
    <row r="13" spans="1:12" x14ac:dyDescent="0.25">
      <c r="A13" s="6" t="s">
        <v>9</v>
      </c>
      <c r="B13">
        <v>73</v>
      </c>
      <c r="D13" s="10"/>
      <c r="E13" s="10"/>
    </row>
    <row r="14" spans="1:12" x14ac:dyDescent="0.25">
      <c r="A14" s="6" t="s">
        <v>10</v>
      </c>
      <c r="B14">
        <v>0.02</v>
      </c>
      <c r="D14" s="10"/>
      <c r="E14" s="10"/>
    </row>
    <row r="15" spans="1:12" x14ac:dyDescent="0.25">
      <c r="A15" s="6" t="s">
        <v>11</v>
      </c>
      <c r="B15">
        <v>306.60000000000002</v>
      </c>
      <c r="D15" s="10"/>
      <c r="E15" s="10"/>
    </row>
    <row r="16" spans="1:12" x14ac:dyDescent="0.25">
      <c r="A16" s="6" t="s">
        <v>37</v>
      </c>
      <c r="B16">
        <v>36.5</v>
      </c>
    </row>
    <row r="17" spans="1:12" x14ac:dyDescent="0.25">
      <c r="A17" s="6" t="s">
        <v>12</v>
      </c>
      <c r="B17">
        <v>0.01</v>
      </c>
    </row>
    <row r="18" spans="1:12" x14ac:dyDescent="0.25">
      <c r="A18" s="6" t="s">
        <v>13</v>
      </c>
      <c r="B18">
        <v>3.5000000000000003E-2</v>
      </c>
    </row>
    <row r="19" spans="1:12" x14ac:dyDescent="0.25">
      <c r="A19" s="6" t="s">
        <v>14</v>
      </c>
      <c r="B19" s="7">
        <v>0.02</v>
      </c>
      <c r="C19" t="s">
        <v>36</v>
      </c>
    </row>
    <row r="21" spans="1:12" x14ac:dyDescent="0.25">
      <c r="A21" s="1"/>
      <c r="E21" s="1"/>
      <c r="H21" s="1"/>
      <c r="K21" s="1"/>
    </row>
    <row r="22" spans="1:12" x14ac:dyDescent="0.25">
      <c r="B22" s="1" t="s">
        <v>20</v>
      </c>
      <c r="C22" s="1" t="s">
        <v>21</v>
      </c>
      <c r="D22" s="1" t="s">
        <v>24</v>
      </c>
      <c r="E22" s="1" t="s">
        <v>25</v>
      </c>
      <c r="G22" s="1" t="s">
        <v>61</v>
      </c>
    </row>
    <row r="23" spans="1:12" x14ac:dyDescent="0.25">
      <c r="A23" t="s">
        <v>22</v>
      </c>
      <c r="B23">
        <f>$E$5</f>
        <v>200</v>
      </c>
      <c r="C23">
        <f>$E$5</f>
        <v>200</v>
      </c>
      <c r="D23">
        <f>$E$5</f>
        <v>200</v>
      </c>
      <c r="E23">
        <f>$E$5</f>
        <v>200</v>
      </c>
    </row>
    <row r="24" spans="1:12" x14ac:dyDescent="0.25">
      <c r="A24" t="s">
        <v>15</v>
      </c>
      <c r="B24">
        <v>490</v>
      </c>
      <c r="C24">
        <v>590</v>
      </c>
      <c r="D24">
        <v>490</v>
      </c>
      <c r="E24">
        <v>990</v>
      </c>
    </row>
    <row r="25" spans="1:12" x14ac:dyDescent="0.25">
      <c r="A25" t="s">
        <v>19</v>
      </c>
      <c r="B25">
        <f>ROUND($E$5/$E$6,0)</f>
        <v>200</v>
      </c>
      <c r="C25">
        <f t="shared" ref="C25:E25" si="0">ROUND($E$5/$E$6,0)</f>
        <v>200</v>
      </c>
      <c r="D25">
        <f t="shared" si="0"/>
        <v>200</v>
      </c>
      <c r="E25">
        <f t="shared" si="0"/>
        <v>200</v>
      </c>
    </row>
    <row r="26" spans="1:12" x14ac:dyDescent="0.25">
      <c r="A26" t="s">
        <v>23</v>
      </c>
      <c r="B26">
        <f>CEILING(B$25/B$24,1)</f>
        <v>1</v>
      </c>
      <c r="C26">
        <f>CEILING(C$25/C$24,1)</f>
        <v>1</v>
      </c>
      <c r="D26">
        <f>CEILING(D$25/D$24,1)</f>
        <v>1</v>
      </c>
      <c r="E26">
        <f>CEILING(E$25/E$24,1)</f>
        <v>1</v>
      </c>
    </row>
    <row r="27" spans="1:12" x14ac:dyDescent="0.25">
      <c r="A27" t="s">
        <v>65</v>
      </c>
      <c r="B27">
        <f>ROUND(B23/(B$26*$E$6), 0)</f>
        <v>200</v>
      </c>
      <c r="C27">
        <f t="shared" ref="C27:E27" si="1">ROUND(C23/(C$26*$E$6), 0)</f>
        <v>200</v>
      </c>
      <c r="D27">
        <f t="shared" si="1"/>
        <v>200</v>
      </c>
      <c r="E27">
        <f t="shared" si="1"/>
        <v>200</v>
      </c>
    </row>
    <row r="28" spans="1:12" x14ac:dyDescent="0.25">
      <c r="A28" t="s">
        <v>16</v>
      </c>
      <c r="B28" s="2">
        <f>(($E$5-1)*$E$7+$E$8+$E$9)*$B$17*2</f>
        <v>0.59800000000000009</v>
      </c>
      <c r="C28" s="2">
        <f>(($E$5-1)*$E$7+$E$8+$E$9)*$B$17</f>
        <v>0.29900000000000004</v>
      </c>
      <c r="D28" s="2">
        <f>(($E$5-1)*$E$7+$E$8+$E$9)*$B$17*2</f>
        <v>0.59800000000000009</v>
      </c>
      <c r="E28" s="2">
        <f>(($E$5-1)*$E$7+$E$8+$E$9)*$B$17*2</f>
        <v>0.59800000000000009</v>
      </c>
      <c r="L28" s="2"/>
    </row>
    <row r="29" spans="1:12" x14ac:dyDescent="0.25">
      <c r="A29" s="1" t="s">
        <v>17</v>
      </c>
      <c r="B29" s="1">
        <f>B$23*B$28</f>
        <v>119.60000000000002</v>
      </c>
      <c r="C29" s="1">
        <f>C$23*C$28</f>
        <v>59.800000000000011</v>
      </c>
      <c r="D29" s="1">
        <f>D$23*D$28</f>
        <v>119.60000000000002</v>
      </c>
      <c r="E29" s="1">
        <f>E$23*E$28</f>
        <v>119.60000000000002</v>
      </c>
      <c r="I29" s="2"/>
      <c r="L29" s="2"/>
    </row>
    <row r="30" spans="1:12" x14ac:dyDescent="0.25">
      <c r="A30" t="s">
        <v>26</v>
      </c>
      <c r="B30">
        <f>B$27*$E$7</f>
        <v>20</v>
      </c>
      <c r="C30">
        <f>C$27*$E$7</f>
        <v>20</v>
      </c>
      <c r="D30">
        <f>D$27*$E$7</f>
        <v>20</v>
      </c>
      <c r="E30">
        <f>E$27*$E$7</f>
        <v>20</v>
      </c>
      <c r="I30" s="2"/>
      <c r="L30" s="2"/>
    </row>
    <row r="31" spans="1:12" x14ac:dyDescent="0.25">
      <c r="A31" t="s">
        <v>27</v>
      </c>
      <c r="B31">
        <f>MAX(0,(B$25-B$27)*$E$7)</f>
        <v>0</v>
      </c>
      <c r="C31">
        <f>MAX(0,(C$25-C$24)*$E$7)</f>
        <v>0</v>
      </c>
      <c r="D31">
        <f>MAX(0,(D$25-D$24)*$E$7)</f>
        <v>0</v>
      </c>
      <c r="E31">
        <f>MAX(0,(E$25-E$24)*$E$7)</f>
        <v>0</v>
      </c>
      <c r="I31" s="2"/>
    </row>
    <row r="32" spans="1:12" x14ac:dyDescent="0.25">
      <c r="A32" t="s">
        <v>28</v>
      </c>
      <c r="B32">
        <f>(B$23-B$25)*$E$7</f>
        <v>0</v>
      </c>
      <c r="C32">
        <f t="shared" ref="C32:E32" si="2">(C$23-C$25)*$E$7</f>
        <v>0</v>
      </c>
      <c r="D32">
        <f t="shared" si="2"/>
        <v>0</v>
      </c>
      <c r="E32">
        <f t="shared" si="2"/>
        <v>0</v>
      </c>
      <c r="I32" s="4"/>
      <c r="L32" s="1"/>
    </row>
    <row r="33" spans="1:12" x14ac:dyDescent="0.25">
      <c r="A33" t="s">
        <v>29</v>
      </c>
      <c r="B33">
        <f>$E$8</f>
        <v>5</v>
      </c>
      <c r="C33">
        <f>$E$8</f>
        <v>5</v>
      </c>
      <c r="D33">
        <f>$E$8</f>
        <v>5</v>
      </c>
      <c r="E33">
        <f>$E$8</f>
        <v>5</v>
      </c>
      <c r="L33" s="2"/>
    </row>
    <row r="34" spans="1:12" x14ac:dyDescent="0.25">
      <c r="A34" t="s">
        <v>30</v>
      </c>
      <c r="B34">
        <f>$E$9</f>
        <v>5</v>
      </c>
      <c r="C34">
        <f>$E$9</f>
        <v>5</v>
      </c>
      <c r="D34">
        <f>$E$9</f>
        <v>5</v>
      </c>
      <c r="E34">
        <f>$E$9</f>
        <v>5</v>
      </c>
      <c r="L34" s="1"/>
    </row>
    <row r="35" spans="1:12" x14ac:dyDescent="0.25">
      <c r="A35" t="s">
        <v>31</v>
      </c>
      <c r="B35">
        <f>B$23*(B$30+2*B$31+2*B$32+B$33+B$34)</f>
        <v>6000</v>
      </c>
      <c r="C35">
        <f>C$23*(C$30+2*C$31+2*C$32+C$33+C$34)</f>
        <v>6000</v>
      </c>
      <c r="D35">
        <f>D$23*(D$30+2*D$31+2*D$32+D$33+D$34)</f>
        <v>6000</v>
      </c>
      <c r="E35">
        <f>E$23*(2*E$31+2*E$32+E$33+E$34)</f>
        <v>2000</v>
      </c>
    </row>
    <row r="36" spans="1:12" x14ac:dyDescent="0.25">
      <c r="A36" t="s">
        <v>32</v>
      </c>
      <c r="B36" s="5">
        <f>B$35*$B$6</f>
        <v>96</v>
      </c>
      <c r="C36" s="5">
        <f>C$35*$B$6</f>
        <v>96</v>
      </c>
      <c r="D36" s="5">
        <f>D$35*$B$6</f>
        <v>96</v>
      </c>
      <c r="E36" s="5">
        <f>E$35*$B$6</f>
        <v>32</v>
      </c>
    </row>
    <row r="37" spans="1:12" x14ac:dyDescent="0.25">
      <c r="A37" t="s">
        <v>55</v>
      </c>
      <c r="B37">
        <f>$B$5*B$26*$E$6</f>
        <v>912.5</v>
      </c>
      <c r="C37">
        <f>$B$5*C$26*$E$6</f>
        <v>912.5</v>
      </c>
      <c r="D37">
        <f t="shared" ref="D37:E37" si="3">$B$5*D$26*$E$6</f>
        <v>912.5</v>
      </c>
      <c r="E37">
        <f t="shared" si="3"/>
        <v>912.5</v>
      </c>
    </row>
    <row r="38" spans="1:12" x14ac:dyDescent="0.25">
      <c r="A38" s="1" t="s">
        <v>56</v>
      </c>
      <c r="B38" s="3">
        <f>B$37+B$36</f>
        <v>1008.5</v>
      </c>
      <c r="C38" s="3">
        <f>C$37+C$36</f>
        <v>1008.5</v>
      </c>
      <c r="D38" s="3">
        <f>D$37+D$36</f>
        <v>1008.5</v>
      </c>
      <c r="E38" s="3">
        <f>E$37+E$36</f>
        <v>944.5</v>
      </c>
      <c r="I38" s="1"/>
    </row>
    <row r="39" spans="1:12" x14ac:dyDescent="0.25">
      <c r="A39" t="s">
        <v>35</v>
      </c>
      <c r="B39" s="5">
        <v>0</v>
      </c>
      <c r="C39" s="5">
        <v>0</v>
      </c>
      <c r="D39" s="5">
        <f>D$23*(D$31+D$32+D$33+D$34)</f>
        <v>2000</v>
      </c>
      <c r="E39" s="5">
        <v>0</v>
      </c>
      <c r="I39" s="2"/>
    </row>
    <row r="40" spans="1:12" x14ac:dyDescent="0.25">
      <c r="A40" t="s">
        <v>34</v>
      </c>
      <c r="B40" s="5">
        <f>B39*$B$17</f>
        <v>0</v>
      </c>
      <c r="C40" s="5">
        <f>C39*$B$17</f>
        <v>0</v>
      </c>
      <c r="D40" s="5">
        <f>D39*$B$17</f>
        <v>20</v>
      </c>
      <c r="E40" s="5">
        <f>E39*$B$17</f>
        <v>0</v>
      </c>
      <c r="I40" s="1"/>
    </row>
    <row r="41" spans="1:12" x14ac:dyDescent="0.25">
      <c r="A41" t="s">
        <v>40</v>
      </c>
      <c r="B41" s="5">
        <f>B$23*B$31*$B$17</f>
        <v>0</v>
      </c>
      <c r="C41" s="5">
        <v>0</v>
      </c>
      <c r="D41" s="5">
        <v>0</v>
      </c>
      <c r="E41" s="5">
        <f>E$23*E$31*$B$17</f>
        <v>0</v>
      </c>
    </row>
    <row r="42" spans="1:12" x14ac:dyDescent="0.25">
      <c r="A42" t="s">
        <v>41</v>
      </c>
      <c r="B42" s="5">
        <f>B$23*B$32*$B$17</f>
        <v>0</v>
      </c>
      <c r="C42" s="5">
        <v>0</v>
      </c>
      <c r="D42" s="5">
        <v>0</v>
      </c>
      <c r="E42" s="5">
        <f>E$23*E$32*$B$17</f>
        <v>0</v>
      </c>
      <c r="I42" s="1"/>
      <c r="L42" s="1"/>
    </row>
    <row r="43" spans="1:12" x14ac:dyDescent="0.25">
      <c r="A43" t="s">
        <v>42</v>
      </c>
      <c r="B43" s="5">
        <v>0</v>
      </c>
      <c r="C43">
        <v>0</v>
      </c>
      <c r="D43">
        <f>D$23*D$31*$B$14</f>
        <v>0</v>
      </c>
      <c r="E43" s="5">
        <v>0</v>
      </c>
      <c r="L43" s="1"/>
    </row>
    <row r="44" spans="1:12" x14ac:dyDescent="0.25">
      <c r="A44" t="s">
        <v>43</v>
      </c>
      <c r="B44" s="5">
        <v>0</v>
      </c>
      <c r="C44">
        <f>C$23*C$32*($B$19)</f>
        <v>0</v>
      </c>
      <c r="D44">
        <f>D$23*D$32*(2*$B$14+$B$19)</f>
        <v>0</v>
      </c>
      <c r="E44" s="5">
        <v>0</v>
      </c>
      <c r="I44" s="1"/>
      <c r="L44" s="1"/>
    </row>
    <row r="45" spans="1:12" x14ac:dyDescent="0.25">
      <c r="A45" s="1" t="s">
        <v>44</v>
      </c>
      <c r="B45" s="3">
        <f>SUM(B$40:B$44)</f>
        <v>0</v>
      </c>
      <c r="C45" s="3">
        <f>SUM(C$40:C$44)</f>
        <v>0</v>
      </c>
      <c r="D45" s="3">
        <f>SUM(D$40:D$44)</f>
        <v>20</v>
      </c>
      <c r="E45" s="3">
        <f>SUM(E$40:E$44)</f>
        <v>0</v>
      </c>
      <c r="I45" s="1"/>
    </row>
    <row r="46" spans="1:12" x14ac:dyDescent="0.25">
      <c r="A46" t="s">
        <v>46</v>
      </c>
      <c r="B46" s="2">
        <f>B$34*B$27*8/(30*24*3600)</f>
        <v>3.0864197530864196E-3</v>
      </c>
      <c r="C46" s="2">
        <f t="shared" ref="C46:E46" si="4">C$34*C$27*8/(30*24*3600)</f>
        <v>3.0864197530864196E-3</v>
      </c>
      <c r="D46" s="2">
        <f t="shared" si="4"/>
        <v>3.0864197530864196E-3</v>
      </c>
      <c r="E46" s="2">
        <f t="shared" si="4"/>
        <v>3.0864197530864196E-3</v>
      </c>
    </row>
    <row r="47" spans="1:12" x14ac:dyDescent="0.25">
      <c r="A47" t="s">
        <v>47</v>
      </c>
      <c r="B47" s="2">
        <f>B$34*B$25*8/(30*24*3600)</f>
        <v>3.0864197530864196E-3</v>
      </c>
      <c r="C47" s="2">
        <f>C$34*C$25*8/(30*24*3600)</f>
        <v>3.0864197530864196E-3</v>
      </c>
      <c r="D47" s="2">
        <f>D$34*D$25*8/(30*24*3600)</f>
        <v>3.0864197530864196E-3</v>
      </c>
      <c r="E47" s="2">
        <f>E$34*E$25*8/(30*24*3600)</f>
        <v>3.0864197530864196E-3</v>
      </c>
      <c r="I47" s="1"/>
    </row>
    <row r="48" spans="1:12" x14ac:dyDescent="0.25">
      <c r="A48" t="s">
        <v>45</v>
      </c>
      <c r="B48" s="4" t="str">
        <f>IF(B46&lt;1,"ErGw1AZ",IF(B46&lt;2, "ErGw2AZ", "ErGw3AZ"))</f>
        <v>ErGw1AZ</v>
      </c>
      <c r="C48" s="4" t="s">
        <v>66</v>
      </c>
      <c r="D48" s="4" t="s">
        <v>66</v>
      </c>
      <c r="E48" s="4" t="str">
        <f>IF(E46&lt;1,"ErGw1AZ",IF(E46&lt;2, "ErGw2AZ", "ErGw3AZ"))</f>
        <v>ErGw1AZ</v>
      </c>
      <c r="I48" s="3"/>
    </row>
    <row r="49" spans="1:7" x14ac:dyDescent="0.25">
      <c r="A49" t="s">
        <v>48</v>
      </c>
      <c r="B49">
        <f>$E$6*B$26*_xlfn.XLOOKUP(B$48,$A$8:$A$10,$B$8:$B$10)</f>
        <v>263.52999999999997</v>
      </c>
      <c r="C49">
        <v>0</v>
      </c>
      <c r="D49">
        <v>0</v>
      </c>
      <c r="E49">
        <f>$E$6*E$26*_xlfn.XLOOKUP(E$48,$A$8:$A$10,$B$8:$B$10)</f>
        <v>263.52999999999997</v>
      </c>
    </row>
    <row r="50" spans="1:7" x14ac:dyDescent="0.25">
      <c r="A50" t="s">
        <v>68</v>
      </c>
      <c r="B50" s="4" t="s">
        <v>66</v>
      </c>
      <c r="C50">
        <f>C$26*$E$6</f>
        <v>1</v>
      </c>
      <c r="D50">
        <f>$E$6</f>
        <v>1</v>
      </c>
      <c r="E50" s="4" t="s">
        <v>66</v>
      </c>
    </row>
    <row r="51" spans="1:7" x14ac:dyDescent="0.25">
      <c r="A51" t="s">
        <v>70</v>
      </c>
      <c r="B51" s="4" t="s">
        <v>66</v>
      </c>
      <c r="C51">
        <f>CEILING(C$46/2, 1)</f>
        <v>1</v>
      </c>
      <c r="D51">
        <f>CEILING(D$47/2, 1)</f>
        <v>1</v>
      </c>
      <c r="E51" s="4" t="s">
        <v>66</v>
      </c>
      <c r="G51" s="1" t="s">
        <v>62</v>
      </c>
    </row>
    <row r="52" spans="1:7" x14ac:dyDescent="0.25">
      <c r="A52" t="s">
        <v>69</v>
      </c>
      <c r="B52" s="4" t="s">
        <v>66</v>
      </c>
      <c r="C52">
        <v>2</v>
      </c>
      <c r="D52">
        <v>2</v>
      </c>
      <c r="E52" s="4" t="s">
        <v>66</v>
      </c>
      <c r="G52" s="1"/>
    </row>
    <row r="53" spans="1:7" x14ac:dyDescent="0.25">
      <c r="A53" t="s">
        <v>49</v>
      </c>
      <c r="B53">
        <v>0</v>
      </c>
      <c r="C53">
        <f>(C$51*$B$15+C$52*$B$16)*C$50</f>
        <v>379.6</v>
      </c>
      <c r="D53">
        <f>(D$51*$B$15+D$52*$B$16)*D$50</f>
        <v>379.6</v>
      </c>
      <c r="E53">
        <v>0</v>
      </c>
    </row>
    <row r="54" spans="1:7" x14ac:dyDescent="0.25">
      <c r="A54" s="1" t="s">
        <v>50</v>
      </c>
      <c r="B54" s="1">
        <f>B$49</f>
        <v>263.52999999999997</v>
      </c>
      <c r="C54" s="1">
        <f>C$53</f>
        <v>379.6</v>
      </c>
      <c r="D54" s="1">
        <f>D$53</f>
        <v>379.6</v>
      </c>
      <c r="E54" s="1">
        <f>E$49</f>
        <v>263.52999999999997</v>
      </c>
    </row>
    <row r="55" spans="1:7" x14ac:dyDescent="0.25">
      <c r="A55" t="s">
        <v>51</v>
      </c>
      <c r="B55">
        <v>0</v>
      </c>
      <c r="C55">
        <f>C$50*$B$12</f>
        <v>182.5</v>
      </c>
      <c r="D55">
        <f>D$50*$B$12</f>
        <v>182.5</v>
      </c>
      <c r="E55">
        <v>0</v>
      </c>
    </row>
    <row r="56" spans="1:7" x14ac:dyDescent="0.25">
      <c r="A56" t="s">
        <v>52</v>
      </c>
      <c r="B56">
        <v>0</v>
      </c>
      <c r="C56">
        <f>C$50*$B$13</f>
        <v>73</v>
      </c>
      <c r="D56">
        <f>D$50*$B$13</f>
        <v>73</v>
      </c>
      <c r="E56">
        <v>0</v>
      </c>
    </row>
    <row r="57" spans="1:7" x14ac:dyDescent="0.25">
      <c r="A57" s="1" t="s">
        <v>53</v>
      </c>
      <c r="B57" s="1">
        <f>SUM(B$55:B$56)</f>
        <v>0</v>
      </c>
      <c r="C57" s="1">
        <f>SUM(C$55:C$56)</f>
        <v>255.5</v>
      </c>
      <c r="D57" s="1">
        <f>SUM(D$55:D$56)</f>
        <v>255.5</v>
      </c>
      <c r="E57" s="1">
        <f>SUM(E$55:E$56)</f>
        <v>0</v>
      </c>
    </row>
    <row r="58" spans="1:7" x14ac:dyDescent="0.25">
      <c r="A58" s="1" t="s">
        <v>18</v>
      </c>
      <c r="B58" s="1">
        <v>0</v>
      </c>
      <c r="C58" s="1">
        <v>0</v>
      </c>
      <c r="D58" s="1">
        <v>0</v>
      </c>
      <c r="E58" s="3">
        <f>($E$23+$E$6*$E$26)*$B$11</f>
        <v>2934.6</v>
      </c>
    </row>
    <row r="59" spans="1:7" x14ac:dyDescent="0.25">
      <c r="A59" s="1" t="s">
        <v>54</v>
      </c>
      <c r="B59" s="1" t="s">
        <v>20</v>
      </c>
      <c r="C59" s="1" t="s">
        <v>21</v>
      </c>
      <c r="D59" s="1" t="s">
        <v>24</v>
      </c>
      <c r="E59" s="1" t="s">
        <v>25</v>
      </c>
    </row>
    <row r="60" spans="1:7" x14ac:dyDescent="0.25">
      <c r="A60" t="s">
        <v>17</v>
      </c>
      <c r="B60" s="5">
        <f>B$23*B$28</f>
        <v>119.60000000000002</v>
      </c>
      <c r="C60" s="5">
        <f>C$23*C$28</f>
        <v>59.800000000000011</v>
      </c>
      <c r="D60" s="5">
        <f>D$23*D$28</f>
        <v>119.60000000000002</v>
      </c>
      <c r="E60" s="5">
        <f>E$23*E$28</f>
        <v>119.60000000000002</v>
      </c>
    </row>
    <row r="61" spans="1:7" x14ac:dyDescent="0.25">
      <c r="A61" t="s">
        <v>59</v>
      </c>
      <c r="B61" s="5">
        <f>B$37+B$36</f>
        <v>1008.5</v>
      </c>
      <c r="C61" s="5">
        <f>C$37+C$36</f>
        <v>1008.5</v>
      </c>
      <c r="D61" s="5">
        <f>D$37+D$36</f>
        <v>1008.5</v>
      </c>
      <c r="E61" s="5">
        <f>E$37+E$36</f>
        <v>944.5</v>
      </c>
    </row>
    <row r="62" spans="1:7" x14ac:dyDescent="0.25">
      <c r="A62" t="s">
        <v>58</v>
      </c>
      <c r="B62" s="5">
        <f>SUM(B$40:B$44)</f>
        <v>0</v>
      </c>
      <c r="C62" s="5">
        <f>SUM(C$40:C$44)</f>
        <v>0</v>
      </c>
      <c r="D62" s="5">
        <f>SUM(D$40:D$44)</f>
        <v>20</v>
      </c>
      <c r="E62" s="5">
        <f>SUM(E$40:E$44)</f>
        <v>0</v>
      </c>
    </row>
    <row r="63" spans="1:7" x14ac:dyDescent="0.25">
      <c r="A63" t="s">
        <v>57</v>
      </c>
      <c r="B63" s="5">
        <f>B$49</f>
        <v>263.52999999999997</v>
      </c>
      <c r="C63" s="5">
        <f>C$53</f>
        <v>379.6</v>
      </c>
      <c r="D63" s="5">
        <f>D$53</f>
        <v>379.6</v>
      </c>
      <c r="E63" s="5">
        <f>E$49</f>
        <v>263.52999999999997</v>
      </c>
    </row>
    <row r="64" spans="1:7" x14ac:dyDescent="0.25">
      <c r="A64" t="s">
        <v>53</v>
      </c>
      <c r="B64" s="5">
        <f>SUM(B$55:B$56)</f>
        <v>0</v>
      </c>
      <c r="C64" s="5">
        <f>SUM(C$55:C$56)</f>
        <v>255.5</v>
      </c>
      <c r="D64" s="5">
        <f>SUM(D$55:D$56)</f>
        <v>255.5</v>
      </c>
      <c r="E64" s="5">
        <f>SUM(E$55:E$56)</f>
        <v>0</v>
      </c>
    </row>
    <row r="65" spans="1:7" x14ac:dyDescent="0.25">
      <c r="A65" t="s">
        <v>18</v>
      </c>
      <c r="B65" s="5">
        <v>0</v>
      </c>
      <c r="C65" s="5">
        <v>0</v>
      </c>
      <c r="D65" s="5">
        <v>0</v>
      </c>
      <c r="E65" s="5">
        <f>($E$23+2*$E$26)*$B$11</f>
        <v>2949.2</v>
      </c>
    </row>
    <row r="66" spans="1:7" x14ac:dyDescent="0.25">
      <c r="A66" s="1" t="s">
        <v>33</v>
      </c>
      <c r="B66" s="3">
        <f>SUM(B60:B65)</f>
        <v>1391.6299999999999</v>
      </c>
      <c r="C66" s="3">
        <f t="shared" ref="C66:E66" si="5">SUM(C60:C65)</f>
        <v>1703.4</v>
      </c>
      <c r="D66" s="3">
        <f t="shared" si="5"/>
        <v>1783.1999999999998</v>
      </c>
      <c r="E66" s="3">
        <f t="shared" si="5"/>
        <v>4276.83</v>
      </c>
    </row>
    <row r="79" spans="1:7" x14ac:dyDescent="0.25">
      <c r="G79" s="1" t="s">
        <v>63</v>
      </c>
    </row>
  </sheetData>
  <mergeCells count="1">
    <mergeCell ref="D12:E15"/>
  </mergeCells>
  <hyperlinks>
    <hyperlink ref="A17" r:id="rId1" xr:uid="{64C03BB5-514D-485C-8ED3-164148C395A1}"/>
    <hyperlink ref="A18" r:id="rId2" xr:uid="{D40BE117-1D76-455D-826C-53C5325FC329}"/>
    <hyperlink ref="A19" r:id="rId3" xr:uid="{373814E7-DC57-4123-9574-CCAC47314F39}"/>
    <hyperlink ref="A12" r:id="rId4" xr:uid="{E01523EC-F487-429A-8016-78F5AAE0B9F0}"/>
    <hyperlink ref="A13" r:id="rId5" xr:uid="{2D00F1AE-B2CA-4297-A058-BA773F2B88E9}"/>
    <hyperlink ref="A14" r:id="rId6" xr:uid="{A8F45B59-F028-457C-8227-EE37A11B4F3F}"/>
    <hyperlink ref="A15" r:id="rId7" xr:uid="{3ED1E7B3-2E25-4D0C-81C0-52A8605C5338}"/>
    <hyperlink ref="A11" r:id="rId8" xr:uid="{3854AED4-F853-4679-B65F-0E389A8EF357}"/>
    <hyperlink ref="A5" r:id="rId9" display="Azure Firewall 1 FU" xr:uid="{15E90292-9C90-4304-982B-991BC8A583FC}"/>
    <hyperlink ref="A6" r:id="rId10" xr:uid="{A8AC18DD-3650-4A49-83A6-FE252B9F0265}"/>
    <hyperlink ref="A7" r:id="rId11" xr:uid="{05917504-54E7-4A9C-87E4-28DB382B56F6}"/>
    <hyperlink ref="A8" r:id="rId12" xr:uid="{F8CC718F-16CD-4FD2-AF64-8A27024D17CA}"/>
    <hyperlink ref="A9" r:id="rId13" xr:uid="{22158687-060F-4D0A-909B-FE8228A8EB33}"/>
    <hyperlink ref="A10" r:id="rId14" xr:uid="{CF2A28CC-B81C-4FC0-99D9-10661E23161E}"/>
  </hyperlinks>
  <pageMargins left="0.7" right="0.7" top="0.75" bottom="0.75" header="0.3" footer="0.3"/>
  <pageSetup orientation="portrait" r:id="rId15"/>
  <ignoredErrors>
    <ignoredError sqref="C28" formula="1"/>
  </ignoredErrors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B617-470B-456A-B685-557A02AA3F33}">
  <dimension ref="A1:B3"/>
  <sheetViews>
    <sheetView workbookViewId="0">
      <selection activeCell="B3" sqref="B3"/>
    </sheetView>
  </sheetViews>
  <sheetFormatPr defaultRowHeight="15" x14ac:dyDescent="0.25"/>
  <cols>
    <col min="1" max="1" width="12.42578125" bestFit="1" customWidth="1"/>
    <col min="2" max="2" width="11.85546875" bestFit="1" customWidth="1"/>
  </cols>
  <sheetData>
    <row r="1" spans="1:2" x14ac:dyDescent="0.25">
      <c r="A1" t="s">
        <v>79</v>
      </c>
      <c r="B1">
        <v>1.2</v>
      </c>
    </row>
    <row r="2" spans="1:2" x14ac:dyDescent="0.25">
      <c r="A2" t="s">
        <v>80</v>
      </c>
      <c r="B2" t="s">
        <v>85</v>
      </c>
    </row>
    <row r="3" spans="1:2" x14ac:dyDescent="0.25">
      <c r="A3" t="s">
        <v>82</v>
      </c>
      <c r="B3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AzNWDesign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Moreno</dc:creator>
  <cp:keywords/>
  <dc:description/>
  <cp:lastModifiedBy>Jose Moreno</cp:lastModifiedBy>
  <cp:revision/>
  <dcterms:created xsi:type="dcterms:W3CDTF">2026-01-04T14:18:06Z</dcterms:created>
  <dcterms:modified xsi:type="dcterms:W3CDTF">2026-01-23T10:06:37Z</dcterms:modified>
  <cp:category/>
  <cp:contentStatus/>
</cp:coreProperties>
</file>